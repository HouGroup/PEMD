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hendong/Desktop/"/>
    </mc:Choice>
  </mc:AlternateContent>
  <xr:revisionPtr revIDLastSave="0" documentId="13_ncr:1_{D845A441-755A-E046-8416-7D16396092AE}" xr6:coauthVersionLast="47" xr6:coauthVersionMax="47" xr10:uidLastSave="{00000000-0000-0000-0000-000000000000}"/>
  <bookViews>
    <workbookView xWindow="0" yWindow="480" windowWidth="25600" windowHeight="13920" xr2:uid="{AC2FC57A-F3E0-8E46-B7F6-D22CCAB8E6BB}"/>
  </bookViews>
  <sheets>
    <sheet name="PE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E3" i="1"/>
  <c r="E4" i="1"/>
  <c r="E5" i="1"/>
  <c r="E6" i="1"/>
  <c r="E7" i="1"/>
  <c r="E8" i="1"/>
  <c r="H9" i="1"/>
  <c r="E9" i="1" s="1"/>
  <c r="H19" i="1"/>
  <c r="E19" i="1" s="1"/>
  <c r="H18" i="1"/>
  <c r="E18" i="1" s="1"/>
  <c r="H17" i="1"/>
  <c r="E17" i="1" s="1"/>
  <c r="H16" i="1"/>
  <c r="E16" i="1" s="1"/>
  <c r="H15" i="1"/>
  <c r="E15" i="1" s="1"/>
  <c r="H14" i="1"/>
  <c r="E14" i="1" s="1"/>
  <c r="H13" i="1"/>
  <c r="E13" i="1" s="1"/>
  <c r="H12" i="1"/>
  <c r="E12" i="1" s="1"/>
  <c r="H11" i="1"/>
  <c r="E11" i="1" s="1"/>
  <c r="H10" i="1"/>
  <c r="E10" i="1" s="1"/>
  <c r="H2" i="1"/>
  <c r="E2" i="1" s="1"/>
</calcChain>
</file>

<file path=xl/sharedStrings.xml><?xml version="1.0" encoding="utf-8"?>
<sst xmlns="http://schemas.openxmlformats.org/spreadsheetml/2006/main" count="84" uniqueCount="59">
  <si>
    <t>Degree of polymerization</t>
    <phoneticPr fontId="1" type="noConversion"/>
  </si>
  <si>
    <t>doi</t>
    <phoneticPr fontId="1" type="noConversion"/>
  </si>
  <si>
    <t>*CCO*</t>
    <phoneticPr fontId="1" type="noConversion"/>
  </si>
  <si>
    <t>10.1021/acs.macromol.6b00851</t>
    <phoneticPr fontId="1" type="noConversion"/>
  </si>
  <si>
    <t>*CCOCCOCCOCCOCC*</t>
    <phoneticPr fontId="1" type="noConversion"/>
  </si>
  <si>
    <t>*CCOCCOCCOCCOCCOCC*</t>
    <phoneticPr fontId="1" type="noConversion"/>
  </si>
  <si>
    <t>*CCCCOCCOCCOCCOCC*</t>
    <phoneticPr fontId="1" type="noConversion"/>
  </si>
  <si>
    <t>*CCCCOCCOCCOCCOCCOCC*</t>
    <phoneticPr fontId="1" type="noConversion"/>
  </si>
  <si>
    <t>*CCCCCCOCCOCCOCCOCC*</t>
    <phoneticPr fontId="1" type="noConversion"/>
  </si>
  <si>
    <t>*CCCCCCOCCOCCOCCOCCOCC*</t>
    <phoneticPr fontId="1" type="noConversion"/>
  </si>
  <si>
    <t>*OC(=O)OCCCCCCCCCCCC*</t>
    <phoneticPr fontId="1" type="noConversion"/>
  </si>
  <si>
    <t>10.1016/j.electacta.2017.03.217</t>
    <phoneticPr fontId="1" type="noConversion"/>
  </si>
  <si>
    <t>*OC(=O)OCCCCCCC*</t>
    <phoneticPr fontId="1" type="noConversion"/>
  </si>
  <si>
    <t>*OC(=O)OCCCCCCCCCC*</t>
    <phoneticPr fontId="1" type="noConversion"/>
  </si>
  <si>
    <t>*OC(=O)OCCCCCC*</t>
    <phoneticPr fontId="1" type="noConversion"/>
  </si>
  <si>
    <t>*OC(=O)OCCCCCCCCC*</t>
    <phoneticPr fontId="1" type="noConversion"/>
  </si>
  <si>
    <t>*OC(=O)OCCCC*</t>
    <phoneticPr fontId="1" type="noConversion"/>
  </si>
  <si>
    <t>*OC(=O)OCCCCC*</t>
    <phoneticPr fontId="1" type="noConversion"/>
  </si>
  <si>
    <t>*OC(=O)OCCCCCCCC*</t>
    <phoneticPr fontId="1" type="noConversion"/>
  </si>
  <si>
    <t>*OC(=O)OCCOCCOCC*</t>
    <phoneticPr fontId="1" type="noConversion"/>
  </si>
  <si>
    <t>10.1016/j.electacta.2018.01.101</t>
    <phoneticPr fontId="1" type="noConversion"/>
  </si>
  <si>
    <t>*OC(=O)OCCOCCOCCOCCOCCOCC*</t>
    <phoneticPr fontId="1" type="noConversion"/>
  </si>
  <si>
    <t>*OC(=O)OCCOCCOCCOCC*</t>
    <phoneticPr fontId="1" type="noConversion"/>
  </si>
  <si>
    <t>ID</t>
    <phoneticPr fontId="1" type="noConversion"/>
  </si>
  <si>
    <t>SMILES</t>
    <phoneticPr fontId="1" type="noConversion"/>
  </si>
  <si>
    <r>
      <t>M</t>
    </r>
    <r>
      <rPr>
        <vertAlign val="subscript"/>
        <sz val="12"/>
        <color theme="1"/>
        <rFont val="Times New Roman"/>
        <family val="1"/>
      </rPr>
      <t>w</t>
    </r>
    <phoneticPr fontId="1" type="noConversion"/>
  </si>
  <si>
    <t>𝝈_MD  (log10(S cm-1)</t>
    <phoneticPr fontId="1" type="noConversion"/>
  </si>
  <si>
    <t>Tg (K)</t>
    <phoneticPr fontId="1" type="noConversion"/>
  </si>
  <si>
    <t>Li:EO</t>
    <phoneticPr fontId="1" type="noConversion"/>
  </si>
  <si>
    <t>NA</t>
    <phoneticPr fontId="1" type="noConversion"/>
  </si>
  <si>
    <r>
      <t>Molality (mol kg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</si>
  <si>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r>
      <t>𝝈_exp (log10(S cm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>)</t>
    </r>
    <phoneticPr fontId="1" type="noConversion"/>
  </si>
  <si>
    <t>Num_chains</t>
    <phoneticPr fontId="1" type="noConversion"/>
  </si>
  <si>
    <t>Num_LiTFSI</t>
    <phoneticPr fontId="1" type="noConversion"/>
  </si>
  <si>
    <r>
      <t>Box_size (nm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)</t>
    </r>
    <phoneticPr fontId="1" type="noConversion"/>
  </si>
  <si>
    <t>Name</t>
    <phoneticPr fontId="1" type="noConversion"/>
  </si>
  <si>
    <t>poly_1</t>
    <phoneticPr fontId="1" type="noConversion"/>
  </si>
  <si>
    <t>poly_2</t>
    <phoneticPr fontId="1" type="noConversion"/>
  </si>
  <si>
    <t>poly_3</t>
  </si>
  <si>
    <t>poly_4</t>
  </si>
  <si>
    <t>poly_5</t>
  </si>
  <si>
    <t>poly_6</t>
  </si>
  <si>
    <t>poly_7</t>
  </si>
  <si>
    <t>poly_8</t>
  </si>
  <si>
    <t>poly_9</t>
  </si>
  <si>
    <t>poly_10</t>
  </si>
  <si>
    <t>poly_11</t>
  </si>
  <si>
    <t>poly_12</t>
  </si>
  <si>
    <t>poly_13</t>
  </si>
  <si>
    <t>poly_14</t>
  </si>
  <si>
    <t>poly_15</t>
  </si>
  <si>
    <t>poly_16</t>
  </si>
  <si>
    <t>poly_17</t>
  </si>
  <si>
    <t>poly_18</t>
  </si>
  <si>
    <t>T_exp (K)</t>
    <phoneticPr fontId="1" type="noConversion"/>
  </si>
  <si>
    <t>T_MD (K)</t>
    <phoneticPr fontId="1" type="noConversion"/>
  </si>
  <si>
    <t>n_exp_samples</t>
  </si>
  <si>
    <t>𝝈_exp (S cm-1)</t>
    <phoneticPr fontId="1" type="noConversion"/>
  </si>
  <si>
    <r>
      <rPr>
        <sz val="12"/>
        <color theme="1"/>
        <rFont val="Cambria Math"/>
        <family val="1"/>
      </rPr>
      <t>𝝈</t>
    </r>
    <r>
      <rPr>
        <sz val="12"/>
        <color theme="1"/>
        <rFont val="Times New Roman"/>
        <family val="1"/>
      </rPr>
      <t>_MD (S cm-1)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</si>
</sst>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3398-BBF3-6D46-AE5C-5F8FBCCF01ED}">
  <dimension ref="A1:S19"/>
  <sheetViews>
    <sheetView tabSelected="1" zoomScale="87" workbookViewId="0">
      <selection activeCell="N23" sqref="N23"/>
    </sheetView>
  </sheetViews>
  <sheetFormatPr baseColWidth="10" defaultRowHeight="16"/>
  <cols>
    <col min="1" max="2" width="10.83203125" style="1"/>
    <col min="3" max="3" width="35.83203125" style="1" customWidth="1"/>
    <col min="4" max="4" width="10.83203125" style="1"/>
    <col min="5" max="5" width="19.6640625" style="1" customWidth="1"/>
    <col min="6" max="6" width="10.83203125" style="1"/>
    <col min="7" max="7" width="21.1640625" style="1" customWidth="1"/>
    <col min="8" max="8" width="10.83203125" style="1"/>
    <col min="9" max="10" width="14" style="1" customWidth="1"/>
    <col min="11" max="11" width="15.1640625" style="1" customWidth="1"/>
    <col min="12" max="13" width="14.33203125" style="1" customWidth="1"/>
    <col min="14" max="14" width="14.83203125" style="1" customWidth="1"/>
    <col min="15" max="15" width="19.6640625" style="1" customWidth="1"/>
    <col min="16" max="16" width="14.5" style="1" customWidth="1"/>
    <col min="17" max="17" width="21.6640625" style="1" customWidth="1"/>
    <col min="18" max="18" width="10.83203125" style="1"/>
    <col min="19" max="19" width="33.5" style="1" customWidth="1"/>
    <col min="20" max="16384" width="10.83203125" style="1"/>
  </cols>
  <sheetData>
    <row r="1" spans="1:19" ht="18">
      <c r="A1" s="1" t="s">
        <v>23</v>
      </c>
      <c r="B1" s="1" t="s">
        <v>35</v>
      </c>
      <c r="C1" s="1" t="s">
        <v>24</v>
      </c>
      <c r="D1" s="1" t="s">
        <v>25</v>
      </c>
      <c r="E1" s="1" t="s">
        <v>30</v>
      </c>
      <c r="F1" s="1" t="s">
        <v>28</v>
      </c>
      <c r="G1" s="1" t="s">
        <v>0</v>
      </c>
      <c r="H1" s="1" t="s">
        <v>32</v>
      </c>
      <c r="I1" s="1" t="s">
        <v>33</v>
      </c>
      <c r="J1" s="1" t="s">
        <v>34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31</v>
      </c>
      <c r="P1" s="1" t="s">
        <v>58</v>
      </c>
      <c r="Q1" s="1" t="s">
        <v>26</v>
      </c>
      <c r="R1" s="1" t="s">
        <v>27</v>
      </c>
      <c r="S1" s="1" t="s">
        <v>1</v>
      </c>
    </row>
    <row r="2" spans="1:19">
      <c r="A2" s="1">
        <v>1</v>
      </c>
      <c r="B2" s="1" t="s">
        <v>36</v>
      </c>
      <c r="C2" s="1" t="s">
        <v>2</v>
      </c>
      <c r="D2" s="1">
        <v>5000</v>
      </c>
      <c r="E2" s="4">
        <f t="shared" ref="E2:E19" si="0">100/(D2*H2/1000)</f>
        <v>1.8080000000000001</v>
      </c>
      <c r="F2" s="1">
        <v>0.08</v>
      </c>
      <c r="G2" s="1">
        <v>113</v>
      </c>
      <c r="H2" s="3">
        <f>1250/G2</f>
        <v>11.061946902654867</v>
      </c>
      <c r="I2" s="1">
        <v>100</v>
      </c>
      <c r="J2" s="4">
        <v>108.45080765760096</v>
      </c>
      <c r="K2" s="1">
        <v>353</v>
      </c>
      <c r="L2" s="1">
        <v>353</v>
      </c>
      <c r="M2" s="3">
        <v>3</v>
      </c>
      <c r="N2" s="5">
        <f>10^O2</f>
        <v>1.0964781961431849E-3</v>
      </c>
      <c r="O2" s="4">
        <v>-2.96</v>
      </c>
      <c r="P2" s="5">
        <v>2.6499999999999999E-4</v>
      </c>
      <c r="Q2" s="2">
        <v>-3.5767847188440269</v>
      </c>
      <c r="R2" s="4">
        <v>263.89999999999998</v>
      </c>
      <c r="S2" s="1" t="s">
        <v>3</v>
      </c>
    </row>
    <row r="3" spans="1:19">
      <c r="A3" s="1">
        <v>2</v>
      </c>
      <c r="B3" s="1" t="s">
        <v>37</v>
      </c>
      <c r="C3" s="1" t="s">
        <v>4</v>
      </c>
      <c r="D3" s="1">
        <v>7400</v>
      </c>
      <c r="E3" s="4">
        <f t="shared" si="0"/>
        <v>1.5015015015015016</v>
      </c>
      <c r="F3" s="1">
        <v>0.08</v>
      </c>
      <c r="G3" s="1">
        <v>36</v>
      </c>
      <c r="H3" s="3">
        <v>9</v>
      </c>
      <c r="I3" s="1">
        <v>100</v>
      </c>
      <c r="J3" s="4">
        <v>130.59624746527598</v>
      </c>
      <c r="K3" s="1">
        <v>353</v>
      </c>
      <c r="L3" s="1">
        <v>353</v>
      </c>
      <c r="M3" s="3">
        <v>3</v>
      </c>
      <c r="N3" s="5">
        <f t="shared" ref="N3:N19" si="1">10^O3</f>
        <v>4.5708818961487499E-4</v>
      </c>
      <c r="O3" s="4">
        <v>-3.34</v>
      </c>
      <c r="P3" s="5">
        <v>1.2866301358534286E-4</v>
      </c>
      <c r="Q3" s="2">
        <v>-3.8905462806353421</v>
      </c>
      <c r="R3" s="4">
        <v>272.39999999999998</v>
      </c>
      <c r="S3" s="1" t="s">
        <v>3</v>
      </c>
    </row>
    <row r="4" spans="1:19">
      <c r="A4" s="1">
        <v>3</v>
      </c>
      <c r="B4" s="1" t="s">
        <v>38</v>
      </c>
      <c r="C4" s="1" t="s">
        <v>5</v>
      </c>
      <c r="D4" s="1">
        <v>6700</v>
      </c>
      <c r="E4" s="4">
        <f t="shared" si="0"/>
        <v>1.6583747927031509</v>
      </c>
      <c r="F4" s="1">
        <v>0.08</v>
      </c>
      <c r="G4" s="1">
        <v>27</v>
      </c>
      <c r="H4" s="3">
        <v>9</v>
      </c>
      <c r="I4" s="1">
        <v>100</v>
      </c>
      <c r="J4" s="4">
        <v>121.23666189475647</v>
      </c>
      <c r="K4" s="1">
        <v>353</v>
      </c>
      <c r="L4" s="1">
        <v>353</v>
      </c>
      <c r="M4" s="3">
        <v>3</v>
      </c>
      <c r="N4" s="5">
        <f t="shared" si="1"/>
        <v>1.2589254117941662E-3</v>
      </c>
      <c r="O4" s="4">
        <v>-2.9</v>
      </c>
      <c r="P4" s="5">
        <v>2.2197805375757094E-4</v>
      </c>
      <c r="Q4" s="2">
        <v>-3.6536899606985767</v>
      </c>
      <c r="R4" s="4">
        <v>257.2</v>
      </c>
      <c r="S4" s="1" t="s">
        <v>3</v>
      </c>
    </row>
    <row r="5" spans="1:19">
      <c r="A5" s="1">
        <v>4</v>
      </c>
      <c r="B5" s="1" t="s">
        <v>39</v>
      </c>
      <c r="C5" s="1" t="s">
        <v>6</v>
      </c>
      <c r="D5" s="1">
        <v>4700</v>
      </c>
      <c r="E5" s="4">
        <f t="shared" si="0"/>
        <v>1.3297872340425532</v>
      </c>
      <c r="F5" s="1">
        <v>0.08</v>
      </c>
      <c r="G5" s="1">
        <v>20</v>
      </c>
      <c r="H5" s="3">
        <v>16</v>
      </c>
      <c r="I5" s="1">
        <v>100</v>
      </c>
      <c r="J5" s="4">
        <v>148.62517482085912</v>
      </c>
      <c r="K5" s="1">
        <v>353</v>
      </c>
      <c r="L5" s="1">
        <v>353</v>
      </c>
      <c r="M5" s="3">
        <v>3</v>
      </c>
      <c r="N5" s="5">
        <f t="shared" si="1"/>
        <v>7.5857757502918277E-4</v>
      </c>
      <c r="O5" s="4">
        <v>-3.12</v>
      </c>
      <c r="P5" s="5">
        <v>1.2151555989287176E-4</v>
      </c>
      <c r="Q5" s="2">
        <v>-3.9153681077204352</v>
      </c>
      <c r="R5" s="4">
        <v>266.60000000000002</v>
      </c>
      <c r="S5" s="1" t="s">
        <v>3</v>
      </c>
    </row>
    <row r="6" spans="1:19">
      <c r="A6" s="1">
        <v>5</v>
      </c>
      <c r="B6" s="1" t="s">
        <v>40</v>
      </c>
      <c r="C6" s="1" t="s">
        <v>7</v>
      </c>
      <c r="D6" s="1">
        <v>7100</v>
      </c>
      <c r="E6" s="4">
        <f t="shared" si="0"/>
        <v>1.1737089201877935</v>
      </c>
      <c r="F6" s="1">
        <v>0.08</v>
      </c>
      <c r="G6" s="1">
        <v>26</v>
      </c>
      <c r="H6" s="3">
        <v>12</v>
      </c>
      <c r="I6" s="1">
        <v>100</v>
      </c>
      <c r="J6" s="4">
        <v>165.39772724143396</v>
      </c>
      <c r="K6" s="1">
        <v>353</v>
      </c>
      <c r="L6" s="1">
        <v>353</v>
      </c>
      <c r="M6" s="3">
        <v>3</v>
      </c>
      <c r="N6" s="5">
        <f t="shared" si="1"/>
        <v>6.606934480075955E-4</v>
      </c>
      <c r="O6" s="4">
        <v>-3.18</v>
      </c>
      <c r="P6" s="5">
        <v>2.4227596520180015E-4</v>
      </c>
      <c r="Q6" s="2">
        <v>-3.6156896675709977</v>
      </c>
      <c r="R6" s="4">
        <v>261.10000000000002</v>
      </c>
      <c r="S6" s="1" t="s">
        <v>3</v>
      </c>
    </row>
    <row r="7" spans="1:19">
      <c r="A7" s="1">
        <v>6</v>
      </c>
      <c r="B7" s="1" t="s">
        <v>41</v>
      </c>
      <c r="C7" s="1" t="s">
        <v>8</v>
      </c>
      <c r="D7" s="1">
        <v>12900</v>
      </c>
      <c r="E7" s="4">
        <f t="shared" si="0"/>
        <v>1.2919896640826873</v>
      </c>
      <c r="F7" s="1">
        <v>0.08</v>
      </c>
      <c r="G7" s="1">
        <v>50</v>
      </c>
      <c r="H7" s="3">
        <v>6</v>
      </c>
      <c r="I7" s="1">
        <v>100</v>
      </c>
      <c r="J7" s="4">
        <v>156.69630179926855</v>
      </c>
      <c r="K7" s="1">
        <v>353</v>
      </c>
      <c r="L7" s="1">
        <v>353</v>
      </c>
      <c r="M7" s="3">
        <v>3</v>
      </c>
      <c r="N7" s="5">
        <f t="shared" si="1"/>
        <v>5.8884365535558883E-4</v>
      </c>
      <c r="O7" s="4">
        <v>-3.23</v>
      </c>
      <c r="P7" s="5">
        <v>1.1595325991960588E-4</v>
      </c>
      <c r="Q7" s="2">
        <v>-3.9357170370631245</v>
      </c>
      <c r="R7" s="4">
        <v>270.89999999999998</v>
      </c>
      <c r="S7" s="1" t="s">
        <v>3</v>
      </c>
    </row>
    <row r="8" spans="1:19">
      <c r="A8" s="1">
        <v>7</v>
      </c>
      <c r="B8" s="1" t="s">
        <v>42</v>
      </c>
      <c r="C8" s="1" t="s">
        <v>9</v>
      </c>
      <c r="D8" s="1">
        <v>19000</v>
      </c>
      <c r="E8" s="4">
        <f t="shared" si="0"/>
        <v>1.0526315789473684</v>
      </c>
      <c r="F8" s="1">
        <v>0.08</v>
      </c>
      <c r="G8" s="1">
        <v>62</v>
      </c>
      <c r="H8" s="3">
        <v>5</v>
      </c>
      <c r="I8" s="1">
        <v>100</v>
      </c>
      <c r="J8" s="4">
        <v>183.36660117932794</v>
      </c>
      <c r="K8" s="1">
        <v>353</v>
      </c>
      <c r="L8" s="1">
        <v>353</v>
      </c>
      <c r="M8" s="3">
        <v>3</v>
      </c>
      <c r="N8" s="5">
        <f t="shared" si="1"/>
        <v>9.3325430079699062E-4</v>
      </c>
      <c r="O8" s="4">
        <v>-3.03</v>
      </c>
      <c r="P8" s="5">
        <v>2.3360872552028489E-4</v>
      </c>
      <c r="Q8" s="2">
        <v>-3.6315109399220491</v>
      </c>
      <c r="R8" s="4">
        <v>263.2</v>
      </c>
      <c r="S8" s="1" t="s">
        <v>3</v>
      </c>
    </row>
    <row r="9" spans="1:19">
      <c r="A9" s="1">
        <v>8</v>
      </c>
      <c r="B9" s="1" t="s">
        <v>43</v>
      </c>
      <c r="C9" s="1" t="s">
        <v>10</v>
      </c>
      <c r="D9" s="1">
        <v>8100</v>
      </c>
      <c r="E9" s="4">
        <f t="shared" si="0"/>
        <v>1.4927601134497683</v>
      </c>
      <c r="F9" s="1" t="s">
        <v>29</v>
      </c>
      <c r="G9" s="1">
        <v>35</v>
      </c>
      <c r="H9" s="3">
        <f t="shared" ref="H9:H19" si="2">((287.1*100)/0.3-287.1*100)/D9</f>
        <v>8.2703703703703724</v>
      </c>
      <c r="I9" s="1">
        <v>100</v>
      </c>
      <c r="J9" s="4">
        <v>134.14617540686243</v>
      </c>
      <c r="K9" s="1">
        <v>353</v>
      </c>
      <c r="L9" s="1">
        <v>353</v>
      </c>
      <c r="M9" s="3">
        <v>3</v>
      </c>
      <c r="N9" s="5">
        <f t="shared" si="1"/>
        <v>2.2387211385683381E-4</v>
      </c>
      <c r="O9" s="1">
        <v>-3.65</v>
      </c>
      <c r="P9" s="5">
        <v>1.4555382347410294E-5</v>
      </c>
      <c r="Q9" s="2">
        <v>-4.8369763818301523</v>
      </c>
      <c r="R9" s="4">
        <v>279</v>
      </c>
      <c r="S9" s="1" t="s">
        <v>11</v>
      </c>
    </row>
    <row r="10" spans="1:19">
      <c r="A10" s="1">
        <v>9</v>
      </c>
      <c r="B10" s="1" t="s">
        <v>44</v>
      </c>
      <c r="C10" s="1" t="s">
        <v>12</v>
      </c>
      <c r="D10" s="1">
        <v>14800</v>
      </c>
      <c r="E10" s="4">
        <f t="shared" si="0"/>
        <v>1.4927601134497683</v>
      </c>
      <c r="F10" s="1" t="s">
        <v>29</v>
      </c>
      <c r="G10" s="1">
        <v>93</v>
      </c>
      <c r="H10" s="3">
        <f t="shared" si="2"/>
        <v>4.5263513513513525</v>
      </c>
      <c r="I10" s="1">
        <v>100</v>
      </c>
      <c r="J10" s="4">
        <v>139.48102279739453</v>
      </c>
      <c r="K10" s="1">
        <v>353</v>
      </c>
      <c r="L10" s="1">
        <v>353</v>
      </c>
      <c r="M10" s="3">
        <v>3</v>
      </c>
      <c r="N10" s="5">
        <f t="shared" si="1"/>
        <v>1.5488166189124797E-4</v>
      </c>
      <c r="O10" s="1">
        <v>-3.81</v>
      </c>
      <c r="P10" s="5">
        <v>1.44482233258867E-5</v>
      </c>
      <c r="Q10" s="2">
        <v>-4.8401855540979364</v>
      </c>
      <c r="R10" s="4">
        <v>298</v>
      </c>
      <c r="S10" s="1" t="s">
        <v>11</v>
      </c>
    </row>
    <row r="11" spans="1:19">
      <c r="A11" s="1">
        <v>10</v>
      </c>
      <c r="B11" s="1" t="s">
        <v>45</v>
      </c>
      <c r="C11" s="1" t="s">
        <v>13</v>
      </c>
      <c r="D11" s="1">
        <v>8000</v>
      </c>
      <c r="E11" s="4">
        <f t="shared" si="0"/>
        <v>1.4927601134497683</v>
      </c>
      <c r="F11" s="1" t="s">
        <v>29</v>
      </c>
      <c r="G11" s="1">
        <v>40</v>
      </c>
      <c r="H11" s="3">
        <f t="shared" si="2"/>
        <v>8.3737500000000011</v>
      </c>
      <c r="I11" s="1">
        <v>100</v>
      </c>
      <c r="J11" s="4">
        <v>130.20512243038374</v>
      </c>
      <c r="K11" s="1">
        <v>353</v>
      </c>
      <c r="L11" s="1">
        <v>353</v>
      </c>
      <c r="M11" s="3">
        <v>3</v>
      </c>
      <c r="N11" s="5">
        <f t="shared" si="1"/>
        <v>1.202264434617413E-4</v>
      </c>
      <c r="O11" s="1">
        <v>-3.92</v>
      </c>
      <c r="P11" s="5">
        <v>1.9938950535647955E-5</v>
      </c>
      <c r="Q11" s="2">
        <v>-4.7002977040269442</v>
      </c>
      <c r="R11" s="4">
        <v>298.3</v>
      </c>
      <c r="S11" s="1" t="s">
        <v>11</v>
      </c>
    </row>
    <row r="12" spans="1:19">
      <c r="A12" s="1">
        <v>11</v>
      </c>
      <c r="B12" s="1" t="s">
        <v>46</v>
      </c>
      <c r="C12" s="1" t="s">
        <v>14</v>
      </c>
      <c r="D12" s="1">
        <v>25100</v>
      </c>
      <c r="E12" s="4">
        <f t="shared" si="0"/>
        <v>1.4927601134497683</v>
      </c>
      <c r="F12" s="1" t="s">
        <v>29</v>
      </c>
      <c r="G12" s="1">
        <v>174</v>
      </c>
      <c r="H12" s="3">
        <f t="shared" si="2"/>
        <v>2.6689243027888452</v>
      </c>
      <c r="I12" s="1">
        <v>100</v>
      </c>
      <c r="J12" s="4">
        <v>138.78907772521299</v>
      </c>
      <c r="K12" s="1">
        <v>353</v>
      </c>
      <c r="L12" s="1">
        <v>353</v>
      </c>
      <c r="M12" s="3">
        <v>3</v>
      </c>
      <c r="N12" s="5">
        <f t="shared" si="1"/>
        <v>8.7096358995608029E-5</v>
      </c>
      <c r="O12" s="1">
        <v>-4.0599999999999996</v>
      </c>
      <c r="P12" s="5">
        <v>2.0127254808261566E-5</v>
      </c>
      <c r="Q12" s="2">
        <v>-4.6962154552616022</v>
      </c>
      <c r="R12" s="4">
        <v>309.60000000000002</v>
      </c>
      <c r="S12" s="1" t="s">
        <v>11</v>
      </c>
    </row>
    <row r="13" spans="1:19">
      <c r="A13" s="1">
        <v>12</v>
      </c>
      <c r="B13" s="1" t="s">
        <v>47</v>
      </c>
      <c r="C13" s="1" t="s">
        <v>15</v>
      </c>
      <c r="D13" s="1">
        <v>16100</v>
      </c>
      <c r="E13" s="4">
        <f t="shared" si="0"/>
        <v>1.4927601134497683</v>
      </c>
      <c r="F13" s="1" t="s">
        <v>29</v>
      </c>
      <c r="G13" s="1">
        <v>86</v>
      </c>
      <c r="H13" s="3">
        <f t="shared" si="2"/>
        <v>4.1608695652173919</v>
      </c>
      <c r="I13" s="1">
        <v>100</v>
      </c>
      <c r="J13" s="4">
        <v>129.81785567553564</v>
      </c>
      <c r="K13" s="1">
        <v>353</v>
      </c>
      <c r="L13" s="1">
        <v>353</v>
      </c>
      <c r="M13" s="3">
        <v>3</v>
      </c>
      <c r="N13" s="5">
        <f t="shared" si="1"/>
        <v>8.7096358995608029E-5</v>
      </c>
      <c r="O13" s="1">
        <v>-4.0599999999999996</v>
      </c>
      <c r="P13" s="5">
        <v>1.745089155466509E-5</v>
      </c>
      <c r="Q13" s="2">
        <v>-4.7581823803162413</v>
      </c>
      <c r="R13" s="4">
        <v>305.2</v>
      </c>
      <c r="S13" s="1" t="s">
        <v>11</v>
      </c>
    </row>
    <row r="14" spans="1:19">
      <c r="A14" s="1">
        <v>13</v>
      </c>
      <c r="B14" s="1" t="s">
        <v>48</v>
      </c>
      <c r="C14" s="1" t="s">
        <v>16</v>
      </c>
      <c r="D14" s="1">
        <v>43300</v>
      </c>
      <c r="E14" s="4">
        <f t="shared" si="0"/>
        <v>1.4927601134497683</v>
      </c>
      <c r="F14" s="1" t="s">
        <v>29</v>
      </c>
      <c r="G14" s="1">
        <v>373</v>
      </c>
      <c r="H14" s="3">
        <f t="shared" si="2"/>
        <v>1.5471131639722868</v>
      </c>
      <c r="I14" s="1">
        <v>100</v>
      </c>
      <c r="J14" s="4">
        <v>145.69432211597754</v>
      </c>
      <c r="K14" s="1">
        <v>353</v>
      </c>
      <c r="L14" s="1">
        <v>353</v>
      </c>
      <c r="M14" s="3">
        <v>3</v>
      </c>
      <c r="N14" s="5">
        <f t="shared" si="1"/>
        <v>6.3095734448019279E-5</v>
      </c>
      <c r="O14" s="1">
        <v>-4.2</v>
      </c>
      <c r="P14" s="5">
        <v>1.0582449413585806E-5</v>
      </c>
      <c r="Q14" s="2">
        <v>-4.9754137988712497</v>
      </c>
      <c r="R14" s="4">
        <v>309.60000000000002</v>
      </c>
      <c r="S14" s="1" t="s">
        <v>11</v>
      </c>
    </row>
    <row r="15" spans="1:19">
      <c r="A15" s="1">
        <v>14</v>
      </c>
      <c r="B15" s="1" t="s">
        <v>49</v>
      </c>
      <c r="C15" s="1" t="s">
        <v>17</v>
      </c>
      <c r="D15" s="1">
        <v>27700</v>
      </c>
      <c r="E15" s="4">
        <f t="shared" si="0"/>
        <v>1.4927601134497683</v>
      </c>
      <c r="F15" s="1" t="s">
        <v>29</v>
      </c>
      <c r="G15" s="1">
        <v>213</v>
      </c>
      <c r="H15" s="3">
        <f t="shared" si="2"/>
        <v>2.418411552346571</v>
      </c>
      <c r="I15" s="1">
        <v>100</v>
      </c>
      <c r="J15" s="4">
        <v>106.22636736654081</v>
      </c>
      <c r="K15" s="1">
        <v>353</v>
      </c>
      <c r="L15" s="1">
        <v>353</v>
      </c>
      <c r="M15" s="3">
        <v>3</v>
      </c>
      <c r="N15" s="5">
        <f t="shared" si="1"/>
        <v>4.8977881936844635E-5</v>
      </c>
      <c r="O15" s="1">
        <v>-4.3099999999999996</v>
      </c>
      <c r="P15" s="5">
        <v>1.6099263113642266E-5</v>
      </c>
      <c r="Q15" s="2">
        <v>-4.7931940017944141</v>
      </c>
      <c r="R15" s="4">
        <v>319.3</v>
      </c>
      <c r="S15" s="1" t="s">
        <v>11</v>
      </c>
    </row>
    <row r="16" spans="1:19">
      <c r="A16" s="1">
        <v>15</v>
      </c>
      <c r="B16" s="1" t="s">
        <v>50</v>
      </c>
      <c r="C16" s="1" t="s">
        <v>18</v>
      </c>
      <c r="D16" s="1">
        <v>15300</v>
      </c>
      <c r="E16" s="4">
        <f t="shared" si="0"/>
        <v>1.4927601134497683</v>
      </c>
      <c r="F16" s="1" t="s">
        <v>29</v>
      </c>
      <c r="G16" s="1">
        <v>89</v>
      </c>
      <c r="H16" s="3">
        <f t="shared" si="2"/>
        <v>4.3784313725490209</v>
      </c>
      <c r="I16" s="1">
        <v>100</v>
      </c>
      <c r="J16" s="4">
        <v>123.06309132899523</v>
      </c>
      <c r="K16" s="1">
        <v>353</v>
      </c>
      <c r="L16" s="1">
        <v>353</v>
      </c>
      <c r="M16" s="3">
        <v>3</v>
      </c>
      <c r="N16" s="5">
        <f t="shared" si="1"/>
        <v>4.5708818961487455E-5</v>
      </c>
      <c r="O16" s="1">
        <v>-4.34</v>
      </c>
      <c r="P16" s="5">
        <v>1.8456617367897988E-5</v>
      </c>
      <c r="Q16" s="2">
        <v>-4.7338478912336521</v>
      </c>
      <c r="R16" s="4">
        <v>308.2</v>
      </c>
      <c r="S16" s="1" t="s">
        <v>11</v>
      </c>
    </row>
    <row r="17" spans="1:19">
      <c r="A17" s="1">
        <v>16</v>
      </c>
      <c r="B17" s="1" t="s">
        <v>51</v>
      </c>
      <c r="C17" s="1" t="s">
        <v>19</v>
      </c>
      <c r="D17" s="1">
        <v>35800</v>
      </c>
      <c r="E17" s="4">
        <f t="shared" si="0"/>
        <v>1.4927601134497683</v>
      </c>
      <c r="F17" s="1" t="s">
        <v>29</v>
      </c>
      <c r="G17" s="1">
        <v>203</v>
      </c>
      <c r="H17" s="3">
        <f t="shared" si="2"/>
        <v>1.8712290502793301</v>
      </c>
      <c r="I17" s="1">
        <v>100</v>
      </c>
      <c r="J17" s="4">
        <v>122.385936906449</v>
      </c>
      <c r="K17" s="1">
        <v>353</v>
      </c>
      <c r="L17" s="1">
        <v>353</v>
      </c>
      <c r="M17" s="3">
        <v>3</v>
      </c>
      <c r="N17" s="5">
        <f t="shared" si="1"/>
        <v>2.6915348039269167E-4</v>
      </c>
      <c r="O17" s="1">
        <v>-3.57</v>
      </c>
      <c r="P17" s="5">
        <v>2.7496603701764749E-5</v>
      </c>
      <c r="Q17" s="2">
        <v>-4.560720945612359</v>
      </c>
      <c r="R17" s="4">
        <v>288.10000000000002</v>
      </c>
      <c r="S17" s="1" t="s">
        <v>20</v>
      </c>
    </row>
    <row r="18" spans="1:19">
      <c r="A18" s="1">
        <v>17</v>
      </c>
      <c r="B18" s="1" t="s">
        <v>52</v>
      </c>
      <c r="C18" s="1" t="s">
        <v>21</v>
      </c>
      <c r="D18" s="1">
        <v>21900</v>
      </c>
      <c r="E18" s="4">
        <f t="shared" si="0"/>
        <v>1.4927601134497683</v>
      </c>
      <c r="F18" s="1" t="s">
        <v>29</v>
      </c>
      <c r="G18" s="1">
        <v>71</v>
      </c>
      <c r="H18" s="3">
        <f t="shared" si="2"/>
        <v>3.0589041095890419</v>
      </c>
      <c r="I18" s="1">
        <v>100</v>
      </c>
      <c r="J18" s="4">
        <v>118.32738172258399</v>
      </c>
      <c r="K18" s="1">
        <v>353</v>
      </c>
      <c r="L18" s="1">
        <v>353</v>
      </c>
      <c r="M18" s="3">
        <v>3</v>
      </c>
      <c r="N18" s="5">
        <f t="shared" si="1"/>
        <v>2.5703957827688604E-4</v>
      </c>
      <c r="O18" s="1">
        <v>-3.59</v>
      </c>
      <c r="P18" s="5">
        <v>1.2411973487001885E-4</v>
      </c>
      <c r="Q18" s="2">
        <v>-3.9061591607756796</v>
      </c>
      <c r="R18" s="4">
        <v>278.3</v>
      </c>
      <c r="S18" s="1" t="s">
        <v>20</v>
      </c>
    </row>
    <row r="19" spans="1:19">
      <c r="A19" s="1">
        <v>18</v>
      </c>
      <c r="B19" s="1" t="s">
        <v>53</v>
      </c>
      <c r="C19" s="1" t="s">
        <v>22</v>
      </c>
      <c r="D19" s="1">
        <v>32400</v>
      </c>
      <c r="E19" s="4">
        <f t="shared" si="0"/>
        <v>1.4927601134497683</v>
      </c>
      <c r="F19" s="1" t="s">
        <v>29</v>
      </c>
      <c r="G19" s="1">
        <v>147</v>
      </c>
      <c r="H19" s="3">
        <f t="shared" si="2"/>
        <v>2.0675925925925931</v>
      </c>
      <c r="I19" s="1">
        <v>100</v>
      </c>
      <c r="J19" s="4">
        <v>115.07705382177281</v>
      </c>
      <c r="K19" s="1">
        <v>353</v>
      </c>
      <c r="L19" s="1">
        <v>353</v>
      </c>
      <c r="M19" s="3">
        <v>3</v>
      </c>
      <c r="N19" s="5">
        <f t="shared" si="1"/>
        <v>1.4454397707459266E-4</v>
      </c>
      <c r="O19" s="1">
        <v>-3.84</v>
      </c>
      <c r="P19" s="5">
        <v>4.0915654213252775E-5</v>
      </c>
      <c r="Q19" s="2">
        <v>-4.3881105003614218</v>
      </c>
      <c r="R19" s="4">
        <v>298.7</v>
      </c>
      <c r="S19" s="1" t="s">
        <v>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shendong tan</dc:creator>
  <cp:lastModifiedBy>shendong tan</cp:lastModifiedBy>
  <dcterms:created xsi:type="dcterms:W3CDTF">2025-11-20T03:26:01Z</dcterms:created>
  <dcterms:modified xsi:type="dcterms:W3CDTF">2025-11-20T05:25:39Z</dcterms:modified>
</cp:coreProperties>
</file>